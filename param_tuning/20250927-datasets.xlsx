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st" sheetId="1" state="visible" r:id="rId3"/>
    <sheet name="Mean" sheetId="2" state="visible" r:id="rId4"/>
  </sheets>
  <definedNames>
    <definedName function="false" hidden="true" localSheetId="1" name="_xlnm._FilterDatabase" vbProcedure="false">Mean!$A$3:$G$41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<sst xmlns="http://schemas.openxmlformats.org/spreadsheetml/2006/main" count="206" uniqueCount="92">
  <si>
    <t xml:space="preserve">BEST Pipelines</t>
  </si>
  <si>
    <t xml:space="preserve">CGP Pipeline Cross Application – best</t>
  </si>
  <si>
    <t xml:space="preserve">MCC Truth</t>
  </si>
  <si>
    <t xml:space="preserve">MCC Pred</t>
  </si>
  <si>
    <t xml:space="preserve">Delta</t>
  </si>
  <si>
    <t xml:space="preserve">Comment</t>
  </si>
  <si>
    <t xml:space="preserve">Output</t>
  </si>
  <si>
    <t xml:space="preserve">Checked?</t>
  </si>
  <si>
    <t xml:space="preserve">Running AirCarbon2_t_8.jpg_best_pipeline on None) ...</t>
  </si>
  <si>
    <t xml:space="preserve">0,0377905996329855</t>
  </si>
  <si>
    <t xml:space="preserve">ok</t>
  </si>
  <si>
    <t xml:space="preserve">Running AirCarbon3_80.jpg_bright_best_pipeline on None) ...</t>
  </si>
  <si>
    <t xml:space="preserve">Running AirCarbon3_80.jpg_dark_1_best_pipeline on None) ...</t>
  </si>
  <si>
    <t xml:space="preserve">0,0863834353272311</t>
  </si>
  <si>
    <t xml:space="preserve">Running AirCarbon3_80.jpg_dark_2_best_pipeline on None) ...</t>
  </si>
  <si>
    <t xml:space="preserve">0,222409478249459</t>
  </si>
  <si>
    <t xml:space="preserve">Running AirCarbon3_80.jpg_dark_3_best_pipeline on None) ...</t>
  </si>
  <si>
    <t xml:space="preserve">0,194585478013419</t>
  </si>
  <si>
    <t xml:space="preserve">Running AirCarbon3_80.jpg_dark_4_best_pipeline on None) ...</t>
  </si>
  <si>
    <t xml:space="preserve">0,373160978099047</t>
  </si>
  <si>
    <t xml:space="preserve">Running AirCarbon3_80.jpg_dark_5_best_pipeline on None) ...</t>
  </si>
  <si>
    <t xml:space="preserve">0,0932109780067698</t>
  </si>
  <si>
    <t xml:space="preserve">Running KolektorSDD_best_pipeline on None) ...</t>
  </si>
  <si>
    <t xml:space="preserve">0,102230998944487</t>
  </si>
  <si>
    <t xml:space="preserve">Running MAIPreform2_Spule0_0315_Upside_Thread_256_best_pipeline on None) ...</t>
  </si>
  <si>
    <t xml:space="preserve">0,33467992609909</t>
  </si>
  <si>
    <t xml:space="preserve">Running MAIPreform2_Spule0_0315_Upside_Thread_best_pipeline on None) ...</t>
  </si>
  <si>
    <t xml:space="preserve">0,383532290616723</t>
  </si>
  <si>
    <t xml:space="preserve">Running MAIPreform2_Spule0_0315_Upside_best_pipeline on None) ...</t>
  </si>
  <si>
    <t xml:space="preserve">0,638448532840093</t>
  </si>
  <si>
    <t xml:space="preserve">Running MAIPreform2_Spule0_0816_Upside_best_pipeline on None) ...</t>
  </si>
  <si>
    <t xml:space="preserve">0,247463260481127</t>
  </si>
  <si>
    <t xml:space="preserve">Running CF_ReferenceSet_best_pipeline on None) ...</t>
  </si>
  <si>
    <t xml:space="preserve">0,0794319310057269</t>
  </si>
  <si>
    <t xml:space="preserve">Running CF_ReferenceSet_Small_Dark_best_pipeline on None) ...</t>
  </si>
  <si>
    <t xml:space="preserve">0,228264926720899</t>
  </si>
  <si>
    <t xml:space="preserve">Running CF_ReferenceSet_Small_Light_best_pipeline on None) ...</t>
  </si>
  <si>
    <t xml:space="preserve">0,339732305466048</t>
  </si>
  <si>
    <t xml:space="preserve">Running FabricDefectsAITEX_best_pipeline on None) ...</t>
  </si>
  <si>
    <t xml:space="preserve">0,195258789601313</t>
  </si>
  <si>
    <t xml:space="preserve">Running MT_Blowhole_train_best_pipeline on None) ...</t>
  </si>
  <si>
    <t xml:space="preserve">0,430239353707102</t>
  </si>
  <si>
    <t xml:space="preserve">Running MVTec_AD_Bottle_Broken_Lg_best_pipeline on None) ...</t>
  </si>
  <si>
    <t xml:space="preserve">0,354622131604506</t>
  </si>
  <si>
    <t xml:space="preserve">Running MVTec_AD_Bottle_Broken_Sm_best_pipeline on None) ...</t>
  </si>
  <si>
    <t xml:space="preserve">0,369698033320171</t>
  </si>
  <si>
    <t xml:space="preserve">Running MVTec_AD_Cable_Missing_best_pipeline on None) ...</t>
  </si>
  <si>
    <t xml:space="preserve">0,945314772970347</t>
  </si>
  <si>
    <t xml:space="preserve">Running MVTec_AD_Capsule_best_pipeline on None) ...</t>
  </si>
  <si>
    <t xml:space="preserve">0,256053772948489</t>
  </si>
  <si>
    <t xml:space="preserve">Running MVTec_AD_Carpet_best_pipeline on None) ...</t>
  </si>
  <si>
    <t xml:space="preserve">0,475444538498299</t>
  </si>
  <si>
    <t xml:space="preserve">Running MVTec_AD_Grid_Thread_best_pipeline on None) ...</t>
  </si>
  <si>
    <t xml:space="preserve">0,474096017167135</t>
  </si>
  <si>
    <t xml:space="preserve">Running MVTec_AD_Hazelnut_Crack_best_pipeline on None) ...</t>
  </si>
  <si>
    <t xml:space="preserve">0,560661207748744</t>
  </si>
  <si>
    <t xml:space="preserve">Running MVTec_AD_Leather_best_pipeline on None) ...</t>
  </si>
  <si>
    <t xml:space="preserve">0,47247579891175</t>
  </si>
  <si>
    <t xml:space="preserve">Running MVTec_AD_Metal_Nut_best_pipeline on None) ...</t>
  </si>
  <si>
    <t xml:space="preserve">0,138070422673154</t>
  </si>
  <si>
    <t xml:space="preserve">Running MVTec_AD_Pill_Crack_best_pipeline on None) ...</t>
  </si>
  <si>
    <t xml:space="preserve">0,590379420951309</t>
  </si>
  <si>
    <t xml:space="preserve">Running MVTec_AD_Screw_Scratch_best_pipeline on None) ...</t>
  </si>
  <si>
    <t xml:space="preserve">0,3413561771112</t>
  </si>
  <si>
    <t xml:space="preserve">Running MVTec_AD_Tile_Crack_best_pipeline on None) ...</t>
  </si>
  <si>
    <t xml:space="preserve">0,685421085713185</t>
  </si>
  <si>
    <t xml:space="preserve">Running MVTec_AD_Toothbrush_Sm_best_pipeline on None) ...</t>
  </si>
  <si>
    <t xml:space="preserve">0,225924148401391</t>
  </si>
  <si>
    <t xml:space="preserve">Running MVTec_AD_Wood_Scratch_best_pipeline on None) ...</t>
  </si>
  <si>
    <t xml:space="preserve">0,622839372828416</t>
  </si>
  <si>
    <t xml:space="preserve">Running MVTec_AD_Zipper_Rough_best_pipeline on None) ...</t>
  </si>
  <si>
    <t xml:space="preserve">0,476883564257889</t>
  </si>
  <si>
    <t xml:space="preserve">Running Pultrusion_Resin_Augmtd_best_pipeline on None) ...</t>
  </si>
  <si>
    <t xml:space="preserve">0,478281820921755</t>
  </si>
  <si>
    <t xml:space="preserve">Running Pultrusion_Resin_best_pipeline on None) ...</t>
  </si>
  <si>
    <t xml:space="preserve">0,681950122424796</t>
  </si>
  <si>
    <t xml:space="preserve">Running Pultrusion_Window_best_pipeline on None) ...</t>
  </si>
  <si>
    <t xml:space="preserve">0,706427921031952</t>
  </si>
  <si>
    <t xml:space="preserve">Running severstal-steel_best_pipeline on None) ...</t>
  </si>
  <si>
    <t xml:space="preserve">0,353380333735377</t>
  </si>
  <si>
    <t xml:space="preserve">Running CrackForest_best_pipeline on None) ...</t>
  </si>
  <si>
    <t xml:space="preserve">0,501822352367627</t>
  </si>
  <si>
    <t xml:space="preserve">Running MVTec_AD_Transistor_best_pipeline on None) ...</t>
  </si>
  <si>
    <t xml:space="preserve">0,121948023672402</t>
  </si>
  <si>
    <t xml:space="preserve">MEAN Pipelines</t>
  </si>
  <si>
    <t xml:space="preserve">CGP Pipeline Cross Application – mean</t>
  </si>
  <si>
    <t xml:space="preserve">Running MAIPreform2_Spule0_0816_Upside_mean_pipeline on None) ...</t>
  </si>
  <si>
    <t xml:space="preserve">Running CF_ReferenceSet_mean_pipeline on None) ...</t>
  </si>
  <si>
    <t xml:space="preserve">Running MVTec_AD_Leather_mean_pipeline on None) ...</t>
  </si>
  <si>
    <t xml:space="preserve">Running Pultrusion_Window_mean_pipeline on None) ...</t>
  </si>
  <si>
    <t xml:space="preserve">Running severstal-steel_mean_pipeline on None) ...</t>
  </si>
  <si>
    <t xml:space="preserve">Running MVTec_AD_Transistor_mean_pipeline on None) ...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</si>
</sst>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5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BE33D"/>
        <bgColor rgb="FFA9D18E"/>
      </patternFill>
    </fill>
    <fill>
      <patternFill patternType="solid">
        <fgColor theme="9" tint="0.3999"/>
        <bgColor rgb="FFBBE33D"/>
      </patternFill>
    </fill>
    <fill>
      <patternFill patternType="solid">
        <fgColor rgb="FFFFE994"/>
        <bgColor rgb="FFFFFFCC"/>
      </patternFill>
    </fill>
    <fill>
      <patternFill patternType="solid">
        <fgColor rgb="FFFF80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BBE3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  <dxf>
      <font>
        <name val="Calibri"/>
        <charset val="1"/>
        <family val="2"/>
        <color rgb="FF996600"/>
        <sz val="11"/>
      </font>
      <fill>
        <patternFill>
          <bgColor rgb="FFFFFFCC"/>
        </patternFill>
      </fill>
    </dxf>
    <dxf>
      <font>
        <name val="Calibri"/>
        <charset val="1"/>
        <family val="2"/>
        <color rgb="FF333333"/>
        <sz val="11"/>
      </font>
      <fill>
        <patternFill>
          <bgColor rgb="FFFFFFCC"/>
        </patternFill>
      </fill>
      <border diagonalUp="false" diagonalDown="false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diagonal/>
      </border>
    </dxf>
    <dxf>
      <font>
        <name val="Calibri"/>
        <charset val="1"/>
        <family val="2"/>
        <color rgb="FF000000"/>
        <sz val="11"/>
      </font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CC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CC"/>
      <rgbColor rgb="FF3366FF"/>
      <rgbColor rgb="FF33CCCC"/>
      <rgbColor rgb="FFBBE33D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le1" displayName="Tabelle1" ref="A2:G40" headerRowCount="1" totalsRowCount="0" totalsRowShown="0">
  <autoFilter ref="A2:G40"/>
  <tableColumns count="7">
    <tableColumn id="1" name="CGP Pipeline Cross Application – best"/>
    <tableColumn id="2" name="MCC Truth"/>
    <tableColumn id="3" name="MCC Pred"/>
    <tableColumn id="4" name="Delta"/>
    <tableColumn id="5" name="Comment"/>
    <tableColumn id="6" name="Output"/>
    <tableColumn id="7" name="Checked?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1" sqref="K2:T44 C14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1" width="53.08"/>
    <col collapsed="false" customWidth="true" hidden="false" outlineLevel="0" max="2" min="2" style="1" width="16.43"/>
    <col collapsed="false" customWidth="true" hidden="false" outlineLevel="0" max="3" min="3" style="1" width="9.97"/>
    <col collapsed="false" customWidth="true" hidden="false" outlineLevel="0" max="4" min="4" style="1" width="6"/>
    <col collapsed="false" customWidth="true" hidden="false" outlineLevel="0" max="5" min="5" style="1" width="8.55"/>
    <col collapsed="false" customWidth="true" hidden="false" outlineLevel="0" max="6" min="6" style="1" width="6.67"/>
    <col collapsed="false" customWidth="true" hidden="false" outlineLevel="0" max="7" min="7" style="1" width="7.44"/>
  </cols>
  <sheetData>
    <row r="1" customFormat="false" ht="27.1" hidden="false" customHeight="true" outlineLevel="0" collapsed="false">
      <c r="A1" s="2" t="s">
        <v>0</v>
      </c>
    </row>
    <row r="2" customFormat="false" ht="13.25" hidden="false" customHeight="tru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J2" s="5"/>
      <c r="K2" s="5"/>
      <c r="L2" s="5"/>
      <c r="M2" s="5"/>
    </row>
    <row r="3" customFormat="false" ht="13.25" hidden="false" customHeight="true" outlineLevel="0" collapsed="false">
      <c r="A3" s="6" t="s">
        <v>8</v>
      </c>
      <c r="B3" s="7" t="s">
        <v>9</v>
      </c>
      <c r="C3" s="0" t="n">
        <v>0.0378</v>
      </c>
      <c r="D3" s="8" t="n">
        <f aca="false">B3-C3</f>
        <v>-9.40036701450181E-006</v>
      </c>
      <c r="G3" s="9" t="s">
        <v>10</v>
      </c>
      <c r="J3" s="10"/>
      <c r="K3" s="10"/>
      <c r="L3" s="10"/>
      <c r="M3" s="10"/>
    </row>
    <row r="4" customFormat="false" ht="13.25" hidden="false" customHeight="true" outlineLevel="0" collapsed="false">
      <c r="A4" s="6" t="s">
        <v>11</v>
      </c>
      <c r="B4" s="7" t="s">
        <v>9</v>
      </c>
      <c r="C4" s="0" t="n">
        <v>0.0014</v>
      </c>
      <c r="D4" s="8" t="n">
        <f aca="false">B4-C4</f>
        <v>0.0363905996329855</v>
      </c>
      <c r="G4" s="9" t="s">
        <v>10</v>
      </c>
      <c r="J4" s="10"/>
      <c r="K4" s="10"/>
      <c r="L4" s="10"/>
      <c r="M4" s="10"/>
    </row>
    <row r="5" customFormat="false" ht="13.25" hidden="false" customHeight="true" outlineLevel="0" collapsed="false">
      <c r="A5" s="6" t="s">
        <v>12</v>
      </c>
      <c r="B5" s="7" t="s">
        <v>13</v>
      </c>
      <c r="C5" s="0" t="n">
        <v>0.005</v>
      </c>
      <c r="D5" s="8" t="n">
        <f aca="false">B5-C5</f>
        <v>0.0813834353272311</v>
      </c>
      <c r="G5" s="9" t="s">
        <v>10</v>
      </c>
      <c r="J5" s="10"/>
      <c r="K5" s="10"/>
      <c r="L5" s="10"/>
      <c r="M5" s="10"/>
    </row>
    <row r="6" customFormat="false" ht="13.25" hidden="false" customHeight="true" outlineLevel="0" collapsed="false">
      <c r="A6" s="6" t="s">
        <v>14</v>
      </c>
      <c r="B6" s="7" t="s">
        <v>15</v>
      </c>
      <c r="C6" s="0" t="n">
        <v>0.1926</v>
      </c>
      <c r="D6" s="8" t="n">
        <f aca="false">B6-C6</f>
        <v>0.029809478249459</v>
      </c>
      <c r="G6" s="9" t="s">
        <v>10</v>
      </c>
      <c r="J6" s="10"/>
      <c r="K6" s="10"/>
      <c r="L6" s="10"/>
      <c r="M6" s="10"/>
    </row>
    <row r="7" customFormat="false" ht="13.25" hidden="false" customHeight="true" outlineLevel="0" collapsed="false">
      <c r="A7" s="6" t="s">
        <v>16</v>
      </c>
      <c r="B7" s="7" t="s">
        <v>17</v>
      </c>
      <c r="C7" s="0" t="n">
        <v>0.1928</v>
      </c>
      <c r="D7" s="8" t="n">
        <f aca="false">B7-C7</f>
        <v>0.001785478013419</v>
      </c>
      <c r="G7" s="9" t="s">
        <v>10</v>
      </c>
      <c r="J7" s="10"/>
      <c r="K7" s="10"/>
      <c r="L7" s="10"/>
      <c r="M7" s="10"/>
    </row>
    <row r="8" customFormat="false" ht="13.25" hidden="false" customHeight="true" outlineLevel="0" collapsed="false">
      <c r="A8" s="6" t="s">
        <v>18</v>
      </c>
      <c r="B8" s="7" t="s">
        <v>19</v>
      </c>
      <c r="C8" s="0" t="n">
        <v>0.3917</v>
      </c>
      <c r="D8" s="8" t="n">
        <f aca="false">B8-C8</f>
        <v>-0.018539021900953</v>
      </c>
      <c r="G8" s="9" t="s">
        <v>10</v>
      </c>
      <c r="J8" s="10"/>
      <c r="K8" s="10"/>
      <c r="L8" s="10"/>
      <c r="M8" s="10"/>
    </row>
    <row r="9" customFormat="false" ht="13.25" hidden="false" customHeight="true" outlineLevel="0" collapsed="false">
      <c r="A9" s="6" t="s">
        <v>20</v>
      </c>
      <c r="B9" s="7" t="s">
        <v>21</v>
      </c>
      <c r="C9" s="0" t="n">
        <v>0.0301</v>
      </c>
      <c r="D9" s="8" t="n">
        <f aca="false">B9-C9</f>
        <v>0.0631109780067698</v>
      </c>
      <c r="G9" s="9" t="s">
        <v>10</v>
      </c>
      <c r="J9" s="10"/>
      <c r="K9" s="10"/>
      <c r="L9" s="10"/>
      <c r="M9" s="10"/>
    </row>
    <row r="10" customFormat="false" ht="13.25" hidden="false" customHeight="true" outlineLevel="0" collapsed="false">
      <c r="A10" s="6" t="s">
        <v>22</v>
      </c>
      <c r="B10" s="7" t="s">
        <v>23</v>
      </c>
      <c r="C10" s="0" t="n">
        <v>0.0754</v>
      </c>
      <c r="D10" s="8" t="n">
        <f aca="false">B10-C10</f>
        <v>0.026830998944487</v>
      </c>
      <c r="G10" s="9" t="s">
        <v>10</v>
      </c>
      <c r="J10" s="10"/>
      <c r="K10" s="10"/>
      <c r="L10" s="10"/>
      <c r="M10" s="10"/>
    </row>
    <row r="11" customFormat="false" ht="13.25" hidden="false" customHeight="true" outlineLevel="0" collapsed="false">
      <c r="A11" s="6" t="s">
        <v>24</v>
      </c>
      <c r="B11" s="7" t="s">
        <v>25</v>
      </c>
      <c r="C11" s="0" t="n">
        <v>0.3386</v>
      </c>
      <c r="D11" s="8" t="n">
        <f aca="false">B11-C11</f>
        <v>-0.00392007390091004</v>
      </c>
      <c r="G11" s="9" t="s">
        <v>10</v>
      </c>
      <c r="J11" s="10"/>
      <c r="K11" s="10"/>
      <c r="L11" s="10"/>
      <c r="M11" s="10"/>
    </row>
    <row r="12" customFormat="false" ht="13.25" hidden="false" customHeight="true" outlineLevel="0" collapsed="false">
      <c r="A12" s="6" t="s">
        <v>26</v>
      </c>
      <c r="B12" s="7" t="s">
        <v>27</v>
      </c>
      <c r="C12" s="0" t="n">
        <v>0.3523</v>
      </c>
      <c r="D12" s="8" t="n">
        <f aca="false">B12-C12</f>
        <v>0.031232290616723</v>
      </c>
      <c r="G12" s="9" t="s">
        <v>10</v>
      </c>
      <c r="J12" s="10"/>
      <c r="K12" s="10"/>
      <c r="L12" s="10"/>
      <c r="M12" s="10"/>
    </row>
    <row r="13" customFormat="false" ht="13.25" hidden="false" customHeight="true" outlineLevel="0" collapsed="false">
      <c r="A13" s="6" t="s">
        <v>28</v>
      </c>
      <c r="B13" s="7" t="s">
        <v>29</v>
      </c>
      <c r="C13" s="0" t="n">
        <v>0.6362</v>
      </c>
      <c r="D13" s="8" t="n">
        <f aca="false">B13-C13</f>
        <v>0.00224853284009297</v>
      </c>
      <c r="G13" s="9" t="s">
        <v>10</v>
      </c>
      <c r="J13" s="10"/>
      <c r="K13" s="10"/>
      <c r="L13" s="10"/>
      <c r="M13" s="10"/>
    </row>
    <row r="14" customFormat="false" ht="13.25" hidden="false" customHeight="true" outlineLevel="0" collapsed="false">
      <c r="A14" s="6" t="s">
        <v>30</v>
      </c>
      <c r="B14" s="7" t="s">
        <v>31</v>
      </c>
      <c r="C14" s="0" t="n">
        <v>0.2093</v>
      </c>
      <c r="D14" s="8" t="n">
        <f aca="false">B14-C14</f>
        <v>0.038163260481127</v>
      </c>
      <c r="G14" s="9" t="s">
        <v>10</v>
      </c>
      <c r="J14" s="10"/>
      <c r="K14" s="10"/>
      <c r="L14" s="10"/>
      <c r="M14" s="10"/>
    </row>
    <row r="15" customFormat="false" ht="13.25" hidden="false" customHeight="true" outlineLevel="0" collapsed="false">
      <c r="A15" s="6" t="s">
        <v>32</v>
      </c>
      <c r="B15" s="7" t="s">
        <v>33</v>
      </c>
      <c r="C15" s="0" t="n">
        <v>0.0861</v>
      </c>
      <c r="D15" s="8" t="n">
        <f aca="false">B15-C15</f>
        <v>-0.00666806899427309</v>
      </c>
      <c r="G15" s="9" t="s">
        <v>10</v>
      </c>
      <c r="J15" s="10"/>
      <c r="K15" s="10"/>
      <c r="L15" s="10"/>
      <c r="M15" s="10"/>
    </row>
    <row r="16" customFormat="false" ht="13.25" hidden="false" customHeight="true" outlineLevel="0" collapsed="false">
      <c r="A16" s="6" t="s">
        <v>34</v>
      </c>
      <c r="B16" s="7" t="s">
        <v>35</v>
      </c>
      <c r="C16" s="0" t="n">
        <v>0.1722</v>
      </c>
      <c r="D16" s="8" t="n">
        <f aca="false">B16-C16</f>
        <v>0.056064926720899</v>
      </c>
      <c r="G16" s="9" t="s">
        <v>10</v>
      </c>
      <c r="J16" s="10"/>
      <c r="K16" s="10"/>
      <c r="L16" s="10"/>
      <c r="M16" s="10"/>
    </row>
    <row r="17" customFormat="false" ht="13.25" hidden="false" customHeight="true" outlineLevel="0" collapsed="false">
      <c r="A17" s="6" t="s">
        <v>36</v>
      </c>
      <c r="B17" s="7" t="s">
        <v>37</v>
      </c>
      <c r="C17" s="0" t="n">
        <v>0.3205</v>
      </c>
      <c r="D17" s="8" t="n">
        <f aca="false">B17-C17</f>
        <v>0.019232305466048</v>
      </c>
      <c r="G17" s="9" t="s">
        <v>10</v>
      </c>
      <c r="J17" s="10"/>
      <c r="K17" s="10"/>
      <c r="L17" s="10"/>
      <c r="M17" s="10"/>
    </row>
    <row r="18" customFormat="false" ht="13.25" hidden="false" customHeight="true" outlineLevel="0" collapsed="false">
      <c r="A18" s="6" t="s">
        <v>38</v>
      </c>
      <c r="B18" s="7" t="s">
        <v>39</v>
      </c>
      <c r="C18" s="0" t="n">
        <v>0.1956</v>
      </c>
      <c r="D18" s="8" t="n">
        <f aca="false">B18-C18</f>
        <v>-0.000341210398687009</v>
      </c>
      <c r="G18" s="9" t="s">
        <v>10</v>
      </c>
      <c r="J18" s="10"/>
      <c r="K18" s="10"/>
      <c r="L18" s="10"/>
      <c r="M18" s="10"/>
    </row>
    <row r="19" customFormat="false" ht="13.25" hidden="false" customHeight="true" outlineLevel="0" collapsed="false">
      <c r="A19" s="6" t="s">
        <v>40</v>
      </c>
      <c r="B19" s="7" t="s">
        <v>41</v>
      </c>
      <c r="C19" s="0" t="n">
        <v>0.4303</v>
      </c>
      <c r="D19" s="8" t="n">
        <f aca="false">B19-C19</f>
        <v>-6.06462928980367E-005</v>
      </c>
      <c r="G19" s="9" t="s">
        <v>10</v>
      </c>
      <c r="J19" s="10"/>
      <c r="K19" s="10"/>
      <c r="L19" s="10"/>
      <c r="M19" s="10"/>
    </row>
    <row r="20" customFormat="false" ht="13.25" hidden="false" customHeight="true" outlineLevel="0" collapsed="false">
      <c r="A20" s="6" t="s">
        <v>42</v>
      </c>
      <c r="B20" s="7" t="s">
        <v>43</v>
      </c>
      <c r="C20" s="0" t="n">
        <v>0.3546</v>
      </c>
      <c r="D20" s="8" t="n">
        <f aca="false">B20-C20</f>
        <v>2.21316045059816E-005</v>
      </c>
      <c r="G20" s="9" t="s">
        <v>10</v>
      </c>
      <c r="J20" s="10"/>
      <c r="K20" s="10"/>
      <c r="L20" s="10"/>
      <c r="M20" s="10"/>
    </row>
    <row r="21" customFormat="false" ht="13.25" hidden="false" customHeight="true" outlineLevel="0" collapsed="false">
      <c r="A21" s="6" t="s">
        <v>44</v>
      </c>
      <c r="B21" s="7" t="s">
        <v>45</v>
      </c>
      <c r="C21" s="0" t="n">
        <v>0.4349</v>
      </c>
      <c r="D21" s="8" t="n">
        <f aca="false">B21-C21</f>
        <v>-0.065201966679829</v>
      </c>
      <c r="G21" s="9" t="s">
        <v>10</v>
      </c>
      <c r="J21" s="10"/>
      <c r="K21" s="10"/>
      <c r="L21" s="10"/>
      <c r="M21" s="10"/>
    </row>
    <row r="22" customFormat="false" ht="13.25" hidden="false" customHeight="true" outlineLevel="0" collapsed="false">
      <c r="A22" s="6" t="s">
        <v>46</v>
      </c>
      <c r="B22" s="7" t="s">
        <v>47</v>
      </c>
      <c r="C22" s="0" t="n">
        <v>0.9482</v>
      </c>
      <c r="D22" s="8" t="n">
        <f aca="false">B22-C22</f>
        <v>-0.00288522702965299</v>
      </c>
      <c r="G22" s="9" t="s">
        <v>10</v>
      </c>
      <c r="J22" s="10"/>
      <c r="K22" s="10"/>
      <c r="L22" s="10"/>
      <c r="M22" s="10"/>
    </row>
    <row r="23" customFormat="false" ht="13.25" hidden="false" customHeight="true" outlineLevel="0" collapsed="false">
      <c r="A23" s="6" t="s">
        <v>48</v>
      </c>
      <c r="B23" s="7" t="s">
        <v>49</v>
      </c>
      <c r="C23" s="0" t="n">
        <v>0.2634</v>
      </c>
      <c r="D23" s="8" t="n">
        <f aca="false">B23-C23</f>
        <v>-0.007346227051511</v>
      </c>
      <c r="G23" s="9" t="s">
        <v>10</v>
      </c>
      <c r="J23" s="10"/>
      <c r="K23" s="10"/>
      <c r="L23" s="10"/>
      <c r="M23" s="10"/>
    </row>
    <row r="24" customFormat="false" ht="13.25" hidden="false" customHeight="true" outlineLevel="0" collapsed="false">
      <c r="A24" s="6" t="s">
        <v>50</v>
      </c>
      <c r="B24" s="7" t="s">
        <v>51</v>
      </c>
      <c r="C24" s="0" t="n">
        <v>0.4321</v>
      </c>
      <c r="D24" s="8" t="n">
        <f aca="false">B24-C24</f>
        <v>0.043344538498299</v>
      </c>
      <c r="G24" s="9" t="s">
        <v>10</v>
      </c>
      <c r="J24" s="10"/>
      <c r="K24" s="10"/>
      <c r="L24" s="10"/>
      <c r="M24" s="10"/>
    </row>
    <row r="25" customFormat="false" ht="13.25" hidden="false" customHeight="true" outlineLevel="0" collapsed="false">
      <c r="A25" s="6" t="s">
        <v>52</v>
      </c>
      <c r="B25" s="7" t="s">
        <v>53</v>
      </c>
      <c r="C25" s="0" t="n">
        <v>0.3749</v>
      </c>
      <c r="D25" s="8" t="n">
        <f aca="false">B25-C25</f>
        <v>0.099196017167135</v>
      </c>
      <c r="G25" s="9" t="s">
        <v>10</v>
      </c>
      <c r="J25" s="10"/>
      <c r="K25" s="10"/>
      <c r="L25" s="10"/>
      <c r="M25" s="10"/>
    </row>
    <row r="26" customFormat="false" ht="13.25" hidden="false" customHeight="true" outlineLevel="0" collapsed="false">
      <c r="A26" s="6" t="s">
        <v>54</v>
      </c>
      <c r="B26" s="7" t="s">
        <v>55</v>
      </c>
      <c r="C26" s="0" t="n">
        <v>0.5059</v>
      </c>
      <c r="D26" s="8" t="n">
        <f aca="false">B26-C26</f>
        <v>0.0547612077487439</v>
      </c>
      <c r="G26" s="9" t="s">
        <v>10</v>
      </c>
      <c r="J26" s="10"/>
      <c r="K26" s="10"/>
      <c r="L26" s="10"/>
      <c r="M26" s="10"/>
    </row>
    <row r="27" customFormat="false" ht="13.25" hidden="false" customHeight="true" outlineLevel="0" collapsed="false">
      <c r="A27" s="6" t="s">
        <v>56</v>
      </c>
      <c r="B27" s="7" t="s">
        <v>57</v>
      </c>
      <c r="C27" s="0" t="n">
        <v>0.4725</v>
      </c>
      <c r="D27" s="8" t="n">
        <f aca="false">B27-C27</f>
        <v>-2.42010882499644E-005</v>
      </c>
      <c r="G27" s="9" t="s">
        <v>10</v>
      </c>
      <c r="J27" s="10"/>
      <c r="K27" s="10"/>
      <c r="L27" s="10"/>
      <c r="M27" s="10"/>
    </row>
    <row r="28" customFormat="false" ht="13.25" hidden="false" customHeight="true" outlineLevel="0" collapsed="false">
      <c r="A28" s="6" t="s">
        <v>58</v>
      </c>
      <c r="B28" s="7" t="s">
        <v>59</v>
      </c>
      <c r="C28" s="0" t="n">
        <v>0.098</v>
      </c>
      <c r="D28" s="8" t="n">
        <f aca="false">B28-C28</f>
        <v>0.040070422673154</v>
      </c>
      <c r="G28" s="9" t="s">
        <v>10</v>
      </c>
      <c r="J28" s="10"/>
      <c r="K28" s="10"/>
      <c r="L28" s="10"/>
      <c r="M28" s="10"/>
    </row>
    <row r="29" customFormat="false" ht="13.25" hidden="false" customHeight="true" outlineLevel="0" collapsed="false">
      <c r="A29" s="6" t="s">
        <v>60</v>
      </c>
      <c r="B29" s="7" t="s">
        <v>61</v>
      </c>
      <c r="C29" s="0" t="n">
        <v>0.571</v>
      </c>
      <c r="D29" s="8" t="n">
        <f aca="false">B29-C29</f>
        <v>0.0193794209513091</v>
      </c>
      <c r="G29" s="9" t="s">
        <v>10</v>
      </c>
      <c r="J29" s="10"/>
      <c r="K29" s="10"/>
      <c r="L29" s="10"/>
      <c r="M29" s="10"/>
    </row>
    <row r="30" customFormat="false" ht="13.25" hidden="false" customHeight="true" outlineLevel="0" collapsed="false">
      <c r="A30" s="6" t="s">
        <v>62</v>
      </c>
      <c r="B30" s="7" t="s">
        <v>63</v>
      </c>
      <c r="C30" s="0" t="n">
        <v>0.3544</v>
      </c>
      <c r="D30" s="8" t="n">
        <f aca="false">B30-C30</f>
        <v>-0.0130438228888</v>
      </c>
      <c r="G30" s="9" t="s">
        <v>10</v>
      </c>
      <c r="J30" s="10"/>
      <c r="K30" s="10"/>
      <c r="L30" s="10"/>
      <c r="M30" s="10"/>
    </row>
    <row r="31" customFormat="false" ht="13.25" hidden="false" customHeight="true" outlineLevel="0" collapsed="false">
      <c r="A31" s="6" t="s">
        <v>64</v>
      </c>
      <c r="B31" s="7" t="s">
        <v>65</v>
      </c>
      <c r="C31" s="0" t="n">
        <v>0.675</v>
      </c>
      <c r="D31" s="8" t="n">
        <f aca="false">B31-C31</f>
        <v>0.010421085713185</v>
      </c>
      <c r="G31" s="9" t="s">
        <v>10</v>
      </c>
      <c r="J31" s="10"/>
      <c r="K31" s="10"/>
      <c r="L31" s="10"/>
      <c r="M31" s="10"/>
    </row>
    <row r="32" customFormat="false" ht="13.25" hidden="false" customHeight="true" outlineLevel="0" collapsed="false">
      <c r="A32" s="6" t="s">
        <v>66</v>
      </c>
      <c r="B32" s="7" t="s">
        <v>67</v>
      </c>
      <c r="C32" s="0" t="n">
        <v>0.2275</v>
      </c>
      <c r="D32" s="8" t="n">
        <f aca="false">B32-C32</f>
        <v>-0.00157585159860901</v>
      </c>
      <c r="G32" s="9" t="s">
        <v>10</v>
      </c>
      <c r="J32" s="10"/>
      <c r="K32" s="10"/>
      <c r="L32" s="10"/>
      <c r="M32" s="10"/>
    </row>
    <row r="33" customFormat="false" ht="13.25" hidden="false" customHeight="true" outlineLevel="0" collapsed="false">
      <c r="A33" s="6" t="s">
        <v>68</v>
      </c>
      <c r="B33" s="7" t="s">
        <v>69</v>
      </c>
      <c r="C33" s="0" t="n">
        <v>0.6414</v>
      </c>
      <c r="D33" s="8" t="n">
        <f aca="false">B33-C33</f>
        <v>-0.018560627171584</v>
      </c>
      <c r="G33" s="9" t="s">
        <v>10</v>
      </c>
      <c r="J33" s="10"/>
      <c r="K33" s="10"/>
      <c r="L33" s="10"/>
      <c r="M33" s="10"/>
    </row>
    <row r="34" customFormat="false" ht="13.25" hidden="false" customHeight="true" outlineLevel="0" collapsed="false">
      <c r="A34" s="6" t="s">
        <v>70</v>
      </c>
      <c r="B34" s="7" t="s">
        <v>71</v>
      </c>
      <c r="C34" s="0" t="n">
        <v>0.478</v>
      </c>
      <c r="D34" s="8" t="n">
        <f aca="false">B34-C34</f>
        <v>-0.00111643574211096</v>
      </c>
      <c r="G34" s="9" t="s">
        <v>10</v>
      </c>
      <c r="J34" s="10"/>
      <c r="K34" s="10"/>
      <c r="L34" s="10"/>
      <c r="M34" s="10"/>
    </row>
    <row r="35" customFormat="false" ht="13.25" hidden="false" customHeight="true" outlineLevel="0" collapsed="false">
      <c r="A35" s="6" t="s">
        <v>72</v>
      </c>
      <c r="B35" s="7" t="s">
        <v>73</v>
      </c>
      <c r="C35" s="0" t="n">
        <v>0.4593</v>
      </c>
      <c r="D35" s="8" t="n">
        <f aca="false">B35-C35</f>
        <v>0.018981820921755</v>
      </c>
      <c r="G35" s="9" t="s">
        <v>10</v>
      </c>
      <c r="J35" s="10"/>
      <c r="K35" s="10"/>
      <c r="L35" s="10"/>
      <c r="M35" s="10"/>
    </row>
    <row r="36" customFormat="false" ht="13.25" hidden="false" customHeight="true" outlineLevel="0" collapsed="false">
      <c r="A36" s="6" t="s">
        <v>74</v>
      </c>
      <c r="B36" s="7" t="s">
        <v>75</v>
      </c>
      <c r="C36" s="0" t="n">
        <v>0.6094</v>
      </c>
      <c r="D36" s="8" t="n">
        <f aca="false">B36-C36</f>
        <v>0.072550122424796</v>
      </c>
      <c r="G36" s="9" t="s">
        <v>10</v>
      </c>
      <c r="J36" s="10"/>
      <c r="K36" s="10"/>
      <c r="L36" s="10"/>
      <c r="M36" s="10"/>
    </row>
    <row r="37" customFormat="false" ht="13.25" hidden="false" customHeight="true" outlineLevel="0" collapsed="false">
      <c r="A37" s="6" t="s">
        <v>76</v>
      </c>
      <c r="B37" s="7" t="s">
        <v>77</v>
      </c>
      <c r="C37" s="0" t="n">
        <v>0.714</v>
      </c>
      <c r="D37" s="8" t="n">
        <f aca="false">B37-C37</f>
        <v>-0.00757207896804801</v>
      </c>
      <c r="G37" s="9" t="s">
        <v>10</v>
      </c>
      <c r="J37" s="10"/>
      <c r="K37" s="10"/>
      <c r="L37" s="10"/>
      <c r="M37" s="10"/>
    </row>
    <row r="38" customFormat="false" ht="13.25" hidden="false" customHeight="true" outlineLevel="0" collapsed="false">
      <c r="A38" s="1" t="s">
        <v>78</v>
      </c>
      <c r="B38" s="7" t="s">
        <v>79</v>
      </c>
      <c r="C38" s="0" t="n">
        <v>0.3545</v>
      </c>
      <c r="D38" s="8" t="n">
        <f aca="false">B38-C38</f>
        <v>-0.00111966626462301</v>
      </c>
      <c r="G38" s="9" t="s">
        <v>10</v>
      </c>
      <c r="J38" s="10"/>
      <c r="K38" s="10"/>
      <c r="L38" s="10"/>
      <c r="M38" s="10"/>
    </row>
    <row r="39" customFormat="false" ht="13.25" hidden="false" customHeight="true" outlineLevel="0" collapsed="false">
      <c r="A39" s="6" t="s">
        <v>80</v>
      </c>
      <c r="B39" s="7" t="s">
        <v>81</v>
      </c>
      <c r="C39" s="0" t="n">
        <v>0.4062</v>
      </c>
      <c r="D39" s="8" t="n">
        <f aca="false">B39-C39</f>
        <v>0.095622352367627</v>
      </c>
      <c r="G39" s="9" t="s">
        <v>10</v>
      </c>
      <c r="J39" s="10"/>
      <c r="K39" s="10"/>
      <c r="L39" s="10"/>
      <c r="M39" s="10"/>
    </row>
    <row r="40" customFormat="false" ht="13.25" hidden="false" customHeight="true" outlineLevel="0" collapsed="false">
      <c r="A40" s="6" t="s">
        <v>82</v>
      </c>
      <c r="B40" s="7" t="s">
        <v>83</v>
      </c>
      <c r="C40" s="0" t="n">
        <v>0.1166</v>
      </c>
      <c r="D40" s="8" t="n">
        <f aca="false">B40-C40</f>
        <v>0.005348023672402</v>
      </c>
      <c r="G40" s="9" t="s">
        <v>10</v>
      </c>
      <c r="J40" s="10"/>
      <c r="K40" s="10"/>
      <c r="L40" s="10"/>
      <c r="M40" s="10"/>
    </row>
    <row r="41" customFormat="false" ht="14.25" hidden="false" customHeight="false" outlineLevel="0" collapsed="false">
      <c r="B41" s="7"/>
      <c r="C41" s="7"/>
      <c r="D41" s="7"/>
    </row>
    <row r="42" customFormat="false" ht="14.25" hidden="false" customHeight="false" outlineLevel="0" collapsed="false">
      <c r="B42" s="7"/>
      <c r="C42" s="7"/>
      <c r="D42" s="7"/>
    </row>
    <row r="43" customFormat="false" ht="14.25" hidden="false" customHeight="false" outlineLevel="0" collapsed="false">
      <c r="B43" s="7"/>
      <c r="C43" s="7"/>
      <c r="D43" s="7"/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D3:D40">
    <cfRule type="cellIs" priority="2" operator="greaterThanOrEqual" aboveAverage="0" equalAverage="0" bottom="0" percent="0" rank="0" text="" dxfId="4">
      <formula>0.2</formula>
    </cfRule>
    <cfRule type="cellIs" priority="3" operator="lessThanOrEqual" aboveAverage="0" equalAverage="0" bottom="0" percent="0" rank="0" text="" dxfId="4">
      <formula>-0.2</formula>
    </cfRule>
    <cfRule type="cellIs" priority="4" operator="greaterThanOrEqual" aboveAverage="0" equalAverage="0" bottom="0" percent="0" rank="0" text="" dxfId="5">
      <formula>0.1</formula>
    </cfRule>
    <cfRule type="cellIs" priority="5" operator="lessThanOrEqual" aboveAverage="0" equalAverage="0" bottom="0" percent="0" rank="0" text="" dxfId="6">
      <formula>-0.1</formula>
    </cfRule>
    <cfRule type="cellIs" priority="6" operator="lessThan" aboveAverage="0" equalAverage="0" bottom="0" percent="0" rank="0" text="" dxfId="7">
      <formula>0.1</formula>
    </cfRule>
    <cfRule type="cellIs" priority="7" operator="greaterThan" aboveAverage="0" equalAverage="0" bottom="0" percent="0" rank="0" text="" dxfId="7">
      <formula>-0.1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1048576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K2" activeCellId="0" sqref="K2:T44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52.87"/>
    <col collapsed="false" customWidth="true" hidden="false" outlineLevel="0" max="2" min="2" style="1" width="23.35"/>
    <col collapsed="false" customWidth="true" hidden="false" outlineLevel="0" max="3" min="3" style="1" width="11.81"/>
    <col collapsed="false" customWidth="true" hidden="false" outlineLevel="0" max="4" min="4" style="1" width="6"/>
    <col collapsed="false" customWidth="true" hidden="false" outlineLevel="0" max="5" min="5" style="1" width="7"/>
    <col collapsed="false" customWidth="true" hidden="false" outlineLevel="0" max="6" min="6" style="1" width="6.77"/>
    <col collapsed="false" customWidth="true" hidden="false" outlineLevel="0" max="7" min="7" style="1" width="7.44"/>
  </cols>
  <sheetData>
    <row r="2" customFormat="false" ht="26.5" hidden="false" customHeight="true" outlineLevel="0" collapsed="false">
      <c r="A2" s="2" t="s">
        <v>84</v>
      </c>
    </row>
    <row r="3" customFormat="false" ht="13.8" hidden="false" customHeight="false" outlineLevel="0" collapsed="false">
      <c r="A3" s="11" t="s">
        <v>85</v>
      </c>
      <c r="B3" s="11" t="s">
        <v>2</v>
      </c>
      <c r="C3" s="12" t="s">
        <v>3</v>
      </c>
      <c r="D3" s="6" t="s">
        <v>4</v>
      </c>
      <c r="E3" s="6" t="s">
        <v>5</v>
      </c>
      <c r="F3" s="6" t="s">
        <v>6</v>
      </c>
      <c r="G3" s="6" t="s">
        <v>7</v>
      </c>
      <c r="M3" s="5"/>
      <c r="N3" s="5"/>
    </row>
    <row r="4" customFormat="false" ht="13.25" hidden="false" customHeight="true" outlineLevel="0" collapsed="false">
      <c r="A4" s="1" t="s">
        <v>8</v>
      </c>
      <c r="B4" s="1" t="n">
        <v>0.0336391812216862</v>
      </c>
      <c r="C4" s="0" t="n">
        <v>0.0336</v>
      </c>
      <c r="D4" s="8" t="n">
        <f aca="false">B4-C4</f>
        <v>3.91812216862034E-005</v>
      </c>
      <c r="G4" s="9" t="s">
        <v>10</v>
      </c>
      <c r="I4" s="10"/>
      <c r="J4" s="10"/>
      <c r="K4" s="10"/>
      <c r="L4" s="10"/>
      <c r="M4" s="10"/>
      <c r="N4" s="10"/>
      <c r="U4" s="1"/>
    </row>
    <row r="5" customFormat="false" ht="13.25" hidden="false" customHeight="true" outlineLevel="0" collapsed="false">
      <c r="A5" s="6" t="s">
        <v>11</v>
      </c>
      <c r="B5" s="6" t="n">
        <v>0.0332934765777646</v>
      </c>
      <c r="C5" s="0" t="n">
        <v>0.0333</v>
      </c>
      <c r="D5" s="8" t="n">
        <f aca="false">B5-C5</f>
        <v>-6.52342223540076E-006</v>
      </c>
      <c r="G5" s="9" t="s">
        <v>10</v>
      </c>
      <c r="I5" s="10"/>
      <c r="J5" s="10"/>
      <c r="K5" s="10"/>
      <c r="L5" s="10"/>
      <c r="M5" s="10"/>
      <c r="N5" s="10"/>
      <c r="U5" s="1"/>
    </row>
    <row r="6" customFormat="false" ht="13.25" hidden="false" customHeight="true" outlineLevel="0" collapsed="false">
      <c r="A6" s="6" t="s">
        <v>12</v>
      </c>
      <c r="B6" s="6" t="n">
        <v>0.0336233839652003</v>
      </c>
      <c r="C6" s="0" t="n">
        <v>0.0336</v>
      </c>
      <c r="D6" s="8" t="n">
        <f aca="false">B6-C6</f>
        <v>2.33839652003034E-005</v>
      </c>
      <c r="G6" s="9" t="s">
        <v>10</v>
      </c>
      <c r="I6" s="10"/>
      <c r="J6" s="10"/>
      <c r="K6" s="10"/>
      <c r="L6" s="10"/>
      <c r="M6" s="10"/>
      <c r="N6" s="10"/>
      <c r="U6" s="1"/>
    </row>
    <row r="7" customFormat="false" ht="13.25" hidden="false" customHeight="true" outlineLevel="0" collapsed="false">
      <c r="A7" s="6" t="s">
        <v>14</v>
      </c>
      <c r="B7" s="6" t="n">
        <v>0.124895082293055</v>
      </c>
      <c r="C7" s="0" t="n">
        <v>0.0686</v>
      </c>
      <c r="D7" s="8" t="n">
        <f aca="false">B7-C7</f>
        <v>0.056295082293055</v>
      </c>
      <c r="G7" s="9" t="s">
        <v>10</v>
      </c>
      <c r="I7" s="10"/>
      <c r="J7" s="10"/>
      <c r="K7" s="10"/>
      <c r="L7" s="10"/>
      <c r="M7" s="10"/>
      <c r="N7" s="10"/>
      <c r="U7" s="1"/>
    </row>
    <row r="8" customFormat="false" ht="13.25" hidden="false" customHeight="true" outlineLevel="0" collapsed="false">
      <c r="A8" s="6" t="s">
        <v>16</v>
      </c>
      <c r="B8" s="6" t="n">
        <v>0.126645067224404</v>
      </c>
      <c r="C8" s="0" t="n">
        <v>0.1271</v>
      </c>
      <c r="D8" s="8" t="n">
        <f aca="false">B8-C8</f>
        <v>-0.000454932775595995</v>
      </c>
      <c r="G8" s="9" t="s">
        <v>10</v>
      </c>
      <c r="I8" s="10"/>
      <c r="J8" s="10"/>
      <c r="K8" s="10"/>
      <c r="L8" s="10"/>
      <c r="M8" s="10"/>
      <c r="N8" s="10"/>
      <c r="U8" s="1"/>
    </row>
    <row r="9" customFormat="false" ht="13.25" hidden="false" customHeight="true" outlineLevel="0" collapsed="false">
      <c r="A9" s="6" t="s">
        <v>18</v>
      </c>
      <c r="B9" s="6" t="n">
        <v>0.23431241513234</v>
      </c>
      <c r="C9" s="0" t="n">
        <v>0.2382</v>
      </c>
      <c r="D9" s="8" t="n">
        <f aca="false">B9-C9</f>
        <v>-0.00388758486766</v>
      </c>
      <c r="G9" s="9" t="s">
        <v>10</v>
      </c>
      <c r="I9" s="10"/>
      <c r="J9" s="10"/>
      <c r="K9" s="10"/>
      <c r="L9" s="10"/>
      <c r="M9" s="10"/>
      <c r="N9" s="10"/>
      <c r="U9" s="1"/>
    </row>
    <row r="10" customFormat="false" ht="13.25" hidden="false" customHeight="true" outlineLevel="0" collapsed="false">
      <c r="A10" s="6" t="s">
        <v>20</v>
      </c>
      <c r="B10" s="6" t="n">
        <v>0.0716789332816773</v>
      </c>
      <c r="C10" s="0" t="n">
        <v>0.0717</v>
      </c>
      <c r="D10" s="8" t="n">
        <f aca="false">B10-C10</f>
        <v>-2.10667183226931E-005</v>
      </c>
      <c r="G10" s="9" t="s">
        <v>10</v>
      </c>
      <c r="I10" s="10"/>
      <c r="J10" s="10"/>
      <c r="K10" s="10"/>
      <c r="L10" s="10"/>
      <c r="M10" s="10"/>
      <c r="N10" s="10"/>
      <c r="U10" s="1"/>
    </row>
    <row r="11" customFormat="false" ht="13.25" hidden="false" customHeight="true" outlineLevel="0" collapsed="false">
      <c r="A11" s="6" t="s">
        <v>22</v>
      </c>
      <c r="B11" s="6" t="n">
        <v>0.0752465163403073</v>
      </c>
      <c r="C11" s="0" t="n">
        <v>0.0752</v>
      </c>
      <c r="D11" s="8" t="n">
        <f aca="false">B11-C11</f>
        <v>4.65163403072927E-005</v>
      </c>
      <c r="G11" s="9" t="s">
        <v>10</v>
      </c>
      <c r="I11" s="10"/>
      <c r="J11" s="10"/>
      <c r="K11" s="10"/>
      <c r="L11" s="10"/>
      <c r="M11" s="10"/>
      <c r="N11" s="10"/>
      <c r="U11" s="1"/>
    </row>
    <row r="12" customFormat="false" ht="13.25" hidden="false" customHeight="true" outlineLevel="0" collapsed="false">
      <c r="A12" s="6" t="s">
        <v>24</v>
      </c>
      <c r="B12" s="6" t="n">
        <v>0.131863378940609</v>
      </c>
      <c r="C12" s="0" t="n">
        <v>0.134</v>
      </c>
      <c r="D12" s="8" t="n">
        <f aca="false">B12-C12</f>
        <v>-0.002136621059391</v>
      </c>
      <c r="G12" s="9" t="s">
        <v>10</v>
      </c>
      <c r="I12" s="10"/>
      <c r="J12" s="10"/>
      <c r="K12" s="10"/>
      <c r="L12" s="10"/>
      <c r="M12" s="10"/>
      <c r="N12" s="10"/>
      <c r="U12" s="1"/>
    </row>
    <row r="13" customFormat="false" ht="13.25" hidden="false" customHeight="true" outlineLevel="0" collapsed="false">
      <c r="A13" s="6" t="s">
        <v>26</v>
      </c>
      <c r="B13" s="6" t="n">
        <v>0.129734882774295</v>
      </c>
      <c r="C13" s="0" t="n">
        <v>0.1309</v>
      </c>
      <c r="D13" s="8" t="n">
        <f aca="false">B13-C13</f>
        <v>-0.00116511722570498</v>
      </c>
      <c r="G13" s="9" t="s">
        <v>10</v>
      </c>
      <c r="I13" s="10"/>
      <c r="J13" s="10"/>
      <c r="K13" s="10"/>
      <c r="L13" s="10"/>
      <c r="M13" s="10"/>
      <c r="N13" s="10"/>
      <c r="U13" s="1"/>
    </row>
    <row r="14" customFormat="false" ht="13.25" hidden="false" customHeight="true" outlineLevel="0" collapsed="false">
      <c r="A14" s="6" t="s">
        <v>28</v>
      </c>
      <c r="B14" s="6" t="n">
        <v>0.634526773199268</v>
      </c>
      <c r="C14" s="0" t="n">
        <v>0.6331</v>
      </c>
      <c r="D14" s="8" t="n">
        <f aca="false">B14-C14</f>
        <v>0.00142677319926798</v>
      </c>
      <c r="G14" s="9" t="s">
        <v>10</v>
      </c>
      <c r="I14" s="10"/>
      <c r="J14" s="10"/>
      <c r="K14" s="10"/>
      <c r="L14" s="10"/>
      <c r="M14" s="10"/>
      <c r="N14" s="10"/>
      <c r="U14" s="1"/>
    </row>
    <row r="15" customFormat="false" ht="13.25" hidden="false" customHeight="true" outlineLevel="0" collapsed="false">
      <c r="A15" s="6" t="s">
        <v>86</v>
      </c>
      <c r="B15" s="6" t="n">
        <v>0.218764576771259</v>
      </c>
      <c r="C15" s="0" t="n">
        <v>0.2081</v>
      </c>
      <c r="D15" s="8" t="n">
        <f aca="false">B15-C15</f>
        <v>0.010664576771259</v>
      </c>
      <c r="G15" s="9" t="s">
        <v>10</v>
      </c>
      <c r="I15" s="10"/>
      <c r="J15" s="10"/>
      <c r="K15" s="10"/>
      <c r="L15" s="10"/>
      <c r="M15" s="10"/>
      <c r="N15" s="10"/>
      <c r="U15" s="1"/>
    </row>
    <row r="16" customFormat="false" ht="13.25" hidden="false" customHeight="true" outlineLevel="0" collapsed="false">
      <c r="A16" s="6" t="s">
        <v>87</v>
      </c>
      <c r="B16" s="6" t="n">
        <v>0.0794319310057269</v>
      </c>
      <c r="C16" s="0" t="n">
        <v>0.0861</v>
      </c>
      <c r="D16" s="8" t="n">
        <f aca="false">B16-C16</f>
        <v>-0.00666806899427309</v>
      </c>
      <c r="G16" s="9" t="s">
        <v>10</v>
      </c>
      <c r="I16" s="10"/>
      <c r="J16" s="10"/>
      <c r="K16" s="10"/>
      <c r="L16" s="10"/>
      <c r="M16" s="10"/>
      <c r="N16" s="10"/>
      <c r="U16" s="1"/>
    </row>
    <row r="17" customFormat="false" ht="13.25" hidden="false" customHeight="true" outlineLevel="0" collapsed="false">
      <c r="A17" s="6" t="s">
        <v>34</v>
      </c>
      <c r="B17" s="6" t="n">
        <v>0.139515827407232</v>
      </c>
      <c r="C17" s="0" t="n">
        <v>0.1438</v>
      </c>
      <c r="D17" s="8" t="n">
        <f aca="false">B17-C17</f>
        <v>-0.004284172592768</v>
      </c>
      <c r="G17" s="9" t="s">
        <v>10</v>
      </c>
      <c r="I17" s="10"/>
      <c r="J17" s="10"/>
      <c r="K17" s="10"/>
      <c r="L17" s="10"/>
      <c r="M17" s="10"/>
      <c r="N17" s="10"/>
      <c r="U17" s="1"/>
    </row>
    <row r="18" customFormat="false" ht="13.25" hidden="false" customHeight="true" outlineLevel="0" collapsed="false">
      <c r="A18" s="6" t="s">
        <v>36</v>
      </c>
      <c r="B18" s="6" t="n">
        <v>0.150205554755411</v>
      </c>
      <c r="C18" s="0" t="n">
        <v>0.1731</v>
      </c>
      <c r="D18" s="8" t="n">
        <f aca="false">B18-C18</f>
        <v>-0.022894445244589</v>
      </c>
      <c r="G18" s="9" t="s">
        <v>10</v>
      </c>
      <c r="I18" s="10"/>
      <c r="J18" s="10"/>
      <c r="K18" s="10"/>
      <c r="L18" s="10"/>
      <c r="M18" s="10"/>
      <c r="N18" s="10"/>
      <c r="U18" s="1"/>
    </row>
    <row r="19" customFormat="false" ht="13.25" hidden="false" customHeight="true" outlineLevel="0" collapsed="false">
      <c r="A19" s="6" t="s">
        <v>38</v>
      </c>
      <c r="B19" s="6" t="n">
        <v>0.154036782755886</v>
      </c>
      <c r="C19" s="0" t="n">
        <v>0.1205</v>
      </c>
      <c r="D19" s="8" t="n">
        <f aca="false">B19-C19</f>
        <v>0.033536782755886</v>
      </c>
      <c r="G19" s="9" t="s">
        <v>10</v>
      </c>
      <c r="I19" s="10"/>
      <c r="J19" s="10"/>
      <c r="K19" s="10"/>
      <c r="L19" s="10"/>
      <c r="M19" s="10"/>
      <c r="N19" s="10"/>
      <c r="U19" s="1"/>
    </row>
    <row r="20" customFormat="false" ht="13.25" hidden="false" customHeight="true" outlineLevel="0" collapsed="false">
      <c r="A20" s="6" t="s">
        <v>40</v>
      </c>
      <c r="B20" s="6" t="n">
        <v>0.355158537693472</v>
      </c>
      <c r="C20" s="0" t="n">
        <v>0.3552</v>
      </c>
      <c r="D20" s="8" t="n">
        <f aca="false">B20-C20</f>
        <v>-4.14623065280173E-005</v>
      </c>
      <c r="G20" s="9" t="s">
        <v>10</v>
      </c>
      <c r="I20" s="10"/>
      <c r="J20" s="10"/>
      <c r="K20" s="10"/>
      <c r="L20" s="10"/>
      <c r="M20" s="10"/>
      <c r="N20" s="10"/>
      <c r="U20" s="1"/>
    </row>
    <row r="21" customFormat="false" ht="13.25" hidden="false" customHeight="true" outlineLevel="0" collapsed="false">
      <c r="A21" s="6" t="s">
        <v>42</v>
      </c>
      <c r="B21" s="6" t="n">
        <v>0.333674246249854</v>
      </c>
      <c r="C21" s="0" t="n">
        <v>0.2454</v>
      </c>
      <c r="D21" s="8" t="n">
        <f aca="false">B21-C21</f>
        <v>0.088274246249854</v>
      </c>
      <c r="E21" s="6"/>
      <c r="G21" s="9" t="s">
        <v>10</v>
      </c>
      <c r="I21" s="10"/>
      <c r="J21" s="10"/>
      <c r="K21" s="10"/>
      <c r="L21" s="10"/>
      <c r="M21" s="10"/>
      <c r="N21" s="10"/>
      <c r="U21" s="1"/>
    </row>
    <row r="22" customFormat="false" ht="13.25" hidden="false" customHeight="true" outlineLevel="0" collapsed="false">
      <c r="A22" s="6" t="s">
        <v>44</v>
      </c>
      <c r="B22" s="6" t="n">
        <v>0.295085553531967</v>
      </c>
      <c r="C22" s="0" t="n">
        <v>0.2951</v>
      </c>
      <c r="D22" s="8" t="n">
        <f aca="false">B22-C22</f>
        <v>-1.4446468032947E-005</v>
      </c>
      <c r="G22" s="9" t="s">
        <v>10</v>
      </c>
      <c r="I22" s="10"/>
      <c r="J22" s="10"/>
      <c r="K22" s="10"/>
      <c r="L22" s="10"/>
      <c r="M22" s="10"/>
      <c r="N22" s="10"/>
      <c r="U22" s="1"/>
    </row>
    <row r="23" customFormat="false" ht="13.25" hidden="false" customHeight="true" outlineLevel="0" collapsed="false">
      <c r="A23" s="1" t="s">
        <v>46</v>
      </c>
      <c r="B23" s="1" t="n">
        <v>0.85641154944387</v>
      </c>
      <c r="C23" s="0" t="n">
        <v>0.8707</v>
      </c>
      <c r="D23" s="8" t="n">
        <f aca="false">B23-C23</f>
        <v>-0.01428845055613</v>
      </c>
      <c r="G23" s="9" t="s">
        <v>10</v>
      </c>
      <c r="I23" s="10"/>
      <c r="J23" s="10"/>
      <c r="K23" s="10"/>
      <c r="L23" s="10"/>
      <c r="M23" s="10"/>
      <c r="N23" s="10"/>
      <c r="U23" s="1"/>
    </row>
    <row r="24" customFormat="false" ht="13.25" hidden="false" customHeight="true" outlineLevel="0" collapsed="false">
      <c r="A24" s="6" t="s">
        <v>48</v>
      </c>
      <c r="B24" s="6" t="n">
        <v>0.121245169346358</v>
      </c>
      <c r="C24" s="0" t="n">
        <v>0.1212</v>
      </c>
      <c r="D24" s="8" t="n">
        <f aca="false">B24-C24</f>
        <v>4.51693463579955E-005</v>
      </c>
      <c r="G24" s="9" t="s">
        <v>10</v>
      </c>
      <c r="I24" s="10"/>
      <c r="J24" s="10"/>
      <c r="K24" s="10"/>
      <c r="L24" s="10"/>
      <c r="M24" s="10"/>
      <c r="N24" s="10"/>
      <c r="U24" s="1"/>
    </row>
    <row r="25" customFormat="false" ht="13.25" hidden="false" customHeight="true" outlineLevel="0" collapsed="false">
      <c r="A25" s="6" t="s">
        <v>50</v>
      </c>
      <c r="B25" s="6" t="n">
        <v>0.0982267970643694</v>
      </c>
      <c r="C25" s="0" t="n">
        <v>0.0523</v>
      </c>
      <c r="D25" s="8" t="n">
        <f aca="false">B25-C25</f>
        <v>0.0459267970643694</v>
      </c>
      <c r="G25" s="9" t="s">
        <v>10</v>
      </c>
      <c r="I25" s="10"/>
      <c r="J25" s="10"/>
      <c r="K25" s="10"/>
      <c r="L25" s="10"/>
      <c r="M25" s="10"/>
      <c r="N25" s="10"/>
      <c r="U25" s="1"/>
    </row>
    <row r="26" customFormat="false" ht="13.25" hidden="false" customHeight="true" outlineLevel="0" collapsed="false">
      <c r="A26" s="6" t="s">
        <v>52</v>
      </c>
      <c r="B26" s="6" t="n">
        <v>0.447453831653456</v>
      </c>
      <c r="C26" s="0" t="n">
        <v>0.4475</v>
      </c>
      <c r="D26" s="8" t="n">
        <f aca="false">B26-C26</f>
        <v>-4.61683465440288E-005</v>
      </c>
      <c r="G26" s="9" t="s">
        <v>10</v>
      </c>
      <c r="I26" s="10"/>
      <c r="J26" s="10"/>
      <c r="K26" s="10"/>
      <c r="L26" s="10"/>
      <c r="M26" s="10"/>
      <c r="N26" s="10"/>
      <c r="U26" s="1"/>
    </row>
    <row r="27" customFormat="false" ht="13.25" hidden="false" customHeight="true" outlineLevel="0" collapsed="false">
      <c r="A27" s="6" t="s">
        <v>54</v>
      </c>
      <c r="B27" s="6" t="n">
        <v>0.460727494072827</v>
      </c>
      <c r="C27" s="0" t="n">
        <v>0.4607</v>
      </c>
      <c r="D27" s="8" t="n">
        <f aca="false">B27-C27</f>
        <v>2.74940728269835E-005</v>
      </c>
      <c r="G27" s="9" t="s">
        <v>10</v>
      </c>
      <c r="I27" s="10"/>
      <c r="J27" s="10"/>
      <c r="K27" s="10"/>
      <c r="L27" s="10"/>
      <c r="M27" s="10"/>
      <c r="N27" s="10"/>
      <c r="U27" s="1"/>
    </row>
    <row r="28" customFormat="false" ht="13.25" hidden="false" customHeight="true" outlineLevel="0" collapsed="false">
      <c r="A28" s="6" t="s">
        <v>88</v>
      </c>
      <c r="B28" s="6" t="n">
        <v>0.385139499824248</v>
      </c>
      <c r="C28" s="0" t="n">
        <v>0.3681</v>
      </c>
      <c r="D28" s="8" t="n">
        <f aca="false">B28-C28</f>
        <v>0.017039499824248</v>
      </c>
      <c r="G28" s="9" t="s">
        <v>10</v>
      </c>
      <c r="I28" s="10"/>
      <c r="J28" s="10"/>
      <c r="K28" s="10"/>
      <c r="L28" s="10"/>
      <c r="M28" s="10"/>
      <c r="N28" s="10"/>
      <c r="U28" s="1"/>
    </row>
    <row r="29" customFormat="false" ht="13.25" hidden="false" customHeight="true" outlineLevel="0" collapsed="false">
      <c r="A29" s="1" t="s">
        <v>58</v>
      </c>
      <c r="B29" s="1" t="n">
        <v>0.121244975869924</v>
      </c>
      <c r="C29" s="0" t="n">
        <v>0.1185</v>
      </c>
      <c r="D29" s="8" t="n">
        <f aca="false">B29-C29</f>
        <v>0.002744975869924</v>
      </c>
      <c r="G29" s="9" t="s">
        <v>10</v>
      </c>
      <c r="I29" s="10"/>
      <c r="J29" s="10"/>
      <c r="K29" s="10"/>
      <c r="L29" s="10"/>
      <c r="M29" s="10"/>
      <c r="N29" s="10"/>
      <c r="U29" s="1"/>
    </row>
    <row r="30" customFormat="false" ht="13.25" hidden="false" customHeight="true" outlineLevel="0" collapsed="false">
      <c r="A30" s="6" t="s">
        <v>60</v>
      </c>
      <c r="B30" s="6" t="n">
        <v>0.545694298252736</v>
      </c>
      <c r="C30" s="0" t="n">
        <v>0.5457</v>
      </c>
      <c r="D30" s="8" t="n">
        <f aca="false">B30-C30</f>
        <v>-5.70174726399753E-006</v>
      </c>
      <c r="G30" s="9" t="s">
        <v>10</v>
      </c>
      <c r="I30" s="10"/>
      <c r="J30" s="10"/>
      <c r="K30" s="10"/>
      <c r="L30" s="10"/>
      <c r="M30" s="10"/>
      <c r="N30" s="10"/>
      <c r="U30" s="1"/>
    </row>
    <row r="31" customFormat="false" ht="13.25" hidden="false" customHeight="true" outlineLevel="0" collapsed="false">
      <c r="A31" s="6" t="s">
        <v>62</v>
      </c>
      <c r="B31" s="6" t="n">
        <v>0.193653302161922</v>
      </c>
      <c r="C31" s="0" t="n">
        <v>0.1937</v>
      </c>
      <c r="D31" s="8" t="n">
        <f aca="false">B31-C31</f>
        <v>-4.66978380780081E-005</v>
      </c>
      <c r="G31" s="9" t="s">
        <v>10</v>
      </c>
      <c r="I31" s="10"/>
      <c r="J31" s="10"/>
      <c r="K31" s="10"/>
      <c r="L31" s="10"/>
      <c r="M31" s="10"/>
      <c r="N31" s="10"/>
      <c r="U31" s="1"/>
    </row>
    <row r="32" customFormat="false" ht="13.25" hidden="false" customHeight="true" outlineLevel="0" collapsed="false">
      <c r="A32" s="1" t="s">
        <v>64</v>
      </c>
      <c r="B32" s="1" t="n">
        <v>0.571710499739276</v>
      </c>
      <c r="C32" s="0" t="n">
        <v>0.5657</v>
      </c>
      <c r="D32" s="8" t="n">
        <f aca="false">B32-C32</f>
        <v>0.00601049973927603</v>
      </c>
      <c r="G32" s="9" t="s">
        <v>10</v>
      </c>
      <c r="I32" s="10"/>
      <c r="J32" s="10"/>
      <c r="K32" s="10"/>
      <c r="L32" s="10"/>
      <c r="M32" s="10"/>
      <c r="N32" s="10"/>
      <c r="U32" s="1"/>
    </row>
    <row r="33" customFormat="false" ht="13.25" hidden="false" customHeight="true" outlineLevel="0" collapsed="false">
      <c r="A33" s="1" t="s">
        <v>66</v>
      </c>
      <c r="B33" s="1" t="n">
        <v>0.206353390389513</v>
      </c>
      <c r="C33" s="0" t="n">
        <v>0.2061</v>
      </c>
      <c r="D33" s="8" t="n">
        <f aca="false">B33-C33</f>
        <v>0.000253390389512997</v>
      </c>
      <c r="G33" s="9" t="s">
        <v>10</v>
      </c>
      <c r="I33" s="10"/>
      <c r="J33" s="10"/>
      <c r="K33" s="10"/>
      <c r="L33" s="10"/>
      <c r="M33" s="10"/>
      <c r="N33" s="10"/>
      <c r="U33" s="1"/>
    </row>
    <row r="34" customFormat="false" ht="13.25" hidden="false" customHeight="true" outlineLevel="0" collapsed="false">
      <c r="A34" s="1" t="s">
        <v>68</v>
      </c>
      <c r="B34" s="1" t="n">
        <v>0.553598109256054</v>
      </c>
      <c r="C34" s="0" t="n">
        <v>0.5536</v>
      </c>
      <c r="D34" s="8" t="n">
        <f aca="false">B34-C34</f>
        <v>-1.89074394596478E-006</v>
      </c>
      <c r="G34" s="9" t="s">
        <v>10</v>
      </c>
      <c r="I34" s="10"/>
      <c r="J34" s="10"/>
      <c r="K34" s="10"/>
      <c r="L34" s="10"/>
      <c r="M34" s="10"/>
      <c r="N34" s="10"/>
      <c r="U34" s="1"/>
    </row>
    <row r="35" customFormat="false" ht="13.25" hidden="false" customHeight="true" outlineLevel="0" collapsed="false">
      <c r="A35" s="6" t="s">
        <v>70</v>
      </c>
      <c r="B35" s="6" t="n">
        <v>0.321007485833355</v>
      </c>
      <c r="C35" s="0" t="n">
        <v>0.321</v>
      </c>
      <c r="D35" s="8" t="n">
        <f aca="false">B35-C35</f>
        <v>7.48583335496988E-006</v>
      </c>
      <c r="G35" s="9" t="s">
        <v>10</v>
      </c>
      <c r="I35" s="10"/>
      <c r="J35" s="10"/>
      <c r="K35" s="10"/>
      <c r="L35" s="10"/>
      <c r="M35" s="10"/>
      <c r="N35" s="10"/>
      <c r="U35" s="1"/>
    </row>
    <row r="36" customFormat="false" ht="13.25" hidden="false" customHeight="true" outlineLevel="0" collapsed="false">
      <c r="A36" s="6" t="s">
        <v>72</v>
      </c>
      <c r="B36" s="6" t="n">
        <v>0.396820538135367</v>
      </c>
      <c r="C36" s="0" t="n">
        <v>0.3968</v>
      </c>
      <c r="D36" s="8" t="n">
        <f aca="false">B36-C36</f>
        <v>2.05381353670098E-005</v>
      </c>
      <c r="G36" s="9" t="s">
        <v>10</v>
      </c>
      <c r="I36" s="10"/>
      <c r="J36" s="10"/>
      <c r="K36" s="10"/>
      <c r="L36" s="10"/>
      <c r="M36" s="10"/>
      <c r="N36" s="10"/>
      <c r="U36" s="1"/>
    </row>
    <row r="37" customFormat="false" ht="13.25" hidden="false" customHeight="true" outlineLevel="0" collapsed="false">
      <c r="A37" s="6" t="s">
        <v>74</v>
      </c>
      <c r="B37" s="6" t="n">
        <v>0.633261326857541</v>
      </c>
      <c r="C37" s="0" t="n">
        <v>0.6387</v>
      </c>
      <c r="D37" s="8" t="n">
        <f aca="false">B37-C37</f>
        <v>-0.00543867314245905</v>
      </c>
      <c r="G37" s="9" t="s">
        <v>10</v>
      </c>
      <c r="I37" s="10"/>
      <c r="J37" s="10"/>
      <c r="K37" s="10"/>
      <c r="L37" s="10"/>
      <c r="M37" s="10"/>
      <c r="N37" s="10"/>
      <c r="U37" s="1"/>
    </row>
    <row r="38" customFormat="false" ht="13.25" hidden="false" customHeight="true" outlineLevel="0" collapsed="false">
      <c r="A38" s="6" t="s">
        <v>89</v>
      </c>
      <c r="B38" s="6" t="n">
        <v>0.728388899750556</v>
      </c>
      <c r="C38" s="0" t="n">
        <v>0.7284</v>
      </c>
      <c r="D38" s="8" t="n">
        <f aca="false">B38-C38</f>
        <v>-1.11002494440626E-005</v>
      </c>
      <c r="G38" s="9" t="s">
        <v>10</v>
      </c>
      <c r="I38" s="10"/>
      <c r="J38" s="10"/>
      <c r="K38" s="10"/>
      <c r="L38" s="10"/>
      <c r="M38" s="10"/>
      <c r="N38" s="10"/>
      <c r="U38" s="1"/>
    </row>
    <row r="39" customFormat="false" ht="13.25" hidden="false" customHeight="true" outlineLevel="0" collapsed="false">
      <c r="A39" s="6" t="s">
        <v>90</v>
      </c>
      <c r="B39" s="6" t="n">
        <v>0.210338073888041</v>
      </c>
      <c r="C39" s="0" t="n">
        <v>0.2002</v>
      </c>
      <c r="D39" s="8" t="n">
        <f aca="false">B39-C39</f>
        <v>0.010138073888041</v>
      </c>
      <c r="G39" s="9" t="s">
        <v>10</v>
      </c>
      <c r="I39" s="10"/>
      <c r="J39" s="10"/>
      <c r="K39" s="10"/>
      <c r="L39" s="10"/>
      <c r="M39" s="10"/>
      <c r="N39" s="10"/>
      <c r="U39" s="1"/>
    </row>
    <row r="40" customFormat="false" ht="13.25" hidden="false" customHeight="true" outlineLevel="0" collapsed="false">
      <c r="A40" s="6" t="s">
        <v>80</v>
      </c>
      <c r="B40" s="6"/>
      <c r="C40" s="0" t="n">
        <v>0.3386</v>
      </c>
      <c r="D40" s="8" t="n">
        <f aca="false">B40-C40</f>
        <v>-0.3386</v>
      </c>
      <c r="G40" s="9" t="s">
        <v>10</v>
      </c>
      <c r="I40" s="10"/>
      <c r="J40" s="10"/>
      <c r="K40" s="10"/>
      <c r="L40" s="10"/>
      <c r="M40" s="10"/>
      <c r="N40" s="10"/>
      <c r="U40" s="1"/>
    </row>
    <row r="41" customFormat="false" ht="13.25" hidden="false" customHeight="true" outlineLevel="0" collapsed="false">
      <c r="A41" s="6" t="s">
        <v>91</v>
      </c>
      <c r="B41" s="6"/>
      <c r="C41" s="0" t="n">
        <v>0.2093</v>
      </c>
      <c r="D41" s="8" t="n">
        <f aca="false">B41-C41</f>
        <v>-0.2093</v>
      </c>
      <c r="G41" s="9" t="s">
        <v>10</v>
      </c>
      <c r="I41" s="10"/>
      <c r="J41" s="10"/>
      <c r="K41" s="10"/>
      <c r="L41" s="10"/>
      <c r="M41" s="10"/>
      <c r="N41" s="10"/>
      <c r="U41" s="1"/>
    </row>
    <row r="42" customFormat="false" ht="13.8" hidden="false" customHeight="true" outlineLevel="0" collapsed="false">
      <c r="G42" s="6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G41"/>
  <conditionalFormatting sqref="D4:D41">
    <cfRule type="cellIs" priority="2" operator="greaterThanOrEqual" aboveAverage="0" equalAverage="0" bottom="0" percent="0" rank="0" text="" dxfId="4">
      <formula>0.2</formula>
    </cfRule>
    <cfRule type="cellIs" priority="3" operator="lessThanOrEqual" aboveAverage="0" equalAverage="0" bottom="0" percent="0" rank="0" text="" dxfId="4">
      <formula>-0.2</formula>
    </cfRule>
    <cfRule type="cellIs" priority="4" operator="greaterThanOrEqual" aboveAverage="0" equalAverage="0" bottom="0" percent="0" rank="0" text="" dxfId="5">
      <formula>0.1</formula>
    </cfRule>
    <cfRule type="cellIs" priority="5" operator="lessThanOrEqual" aboveAverage="0" equalAverage="0" bottom="0" percent="0" rank="0" text="" dxfId="6">
      <formula>-0.1</formula>
    </cfRule>
    <cfRule type="cellIs" priority="6" operator="lessThan" aboveAverage="0" equalAverage="0" bottom="0" percent="0" rank="0" text="" dxfId="7">
      <formula>0.1</formula>
    </cfRule>
    <cfRule type="cellIs" priority="7" operator="greaterThan" aboveAverage="0" equalAverage="0" bottom="0" percent="0" rank="0" text="" dxfId="7">
      <formula>-0.1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51258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2025-09-27T06:42:47Z</dcterms:created>
  <dc:creator>Andreas Margraf</dc:creator>
  <dc:description/>
  <dc:language>de-DE</dc:language>
  <cp:lastModifiedBy/>
  <dcterms:modified xsi:type="dcterms:W3CDTF">2026-03-30T18:54:41Z</dcterms:modified>
  <cp:revision>193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